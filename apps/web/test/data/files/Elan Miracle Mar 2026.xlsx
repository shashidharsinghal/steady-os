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X:\sdca\HOR Kidaan Foods Private Ltd\FY 2025-26\Accounting\1.Sales\24. March 2026\FOCO Sales\Elan Miracle Gurugaon FOCA\"/>
    </mc:Choice>
  </mc:AlternateContent>
  <bookViews>
    <workbookView xWindow="0" yWindow="0" windowWidth="28800" windowHeight="12300" tabRatio="5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X11" i="1" l="1"/>
  <c r="Y11" i="1" s="1"/>
  <c r="Z11" i="1" s="1"/>
  <c r="AA11" i="1" s="1"/>
  <c r="X12" i="1"/>
  <c r="Y12" i="1" s="1"/>
  <c r="Z12" i="1" s="1"/>
  <c r="AA12" i="1" s="1"/>
  <c r="X13" i="1"/>
  <c r="Y13" i="1" s="1"/>
  <c r="Z13" i="1" s="1"/>
  <c r="AA13" i="1" s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 s="1"/>
  <c r="AA19" i="1" s="1"/>
  <c r="X20" i="1"/>
  <c r="Y20" i="1"/>
  <c r="Z20" i="1" s="1"/>
  <c r="AA20" i="1" s="1"/>
  <c r="X21" i="1"/>
  <c r="Y21" i="1"/>
  <c r="Z21" i="1" s="1"/>
  <c r="AA21" i="1" s="1"/>
  <c r="X22" i="1"/>
  <c r="Y22" i="1"/>
  <c r="Z22" i="1" s="1"/>
  <c r="AA22" i="1" s="1"/>
  <c r="X23" i="1"/>
  <c r="Y23" i="1"/>
  <c r="Z23" i="1" s="1"/>
  <c r="AA23" i="1" s="1"/>
  <c r="X24" i="1"/>
  <c r="Y24" i="1"/>
  <c r="Z24" i="1" s="1"/>
  <c r="AA24" i="1" s="1"/>
  <c r="X25" i="1"/>
  <c r="Y25" i="1"/>
  <c r="Z25" i="1" s="1"/>
  <c r="AA25" i="1" s="1"/>
  <c r="X26" i="1"/>
  <c r="Y26" i="1"/>
  <c r="Z26" i="1" s="1"/>
  <c r="AA26" i="1" s="1"/>
  <c r="X27" i="1"/>
  <c r="Y27" i="1"/>
  <c r="Z27" i="1" s="1"/>
  <c r="AA27" i="1" s="1"/>
  <c r="X28" i="1"/>
  <c r="Y28" i="1"/>
  <c r="Z28" i="1" s="1"/>
  <c r="AA28" i="1" s="1"/>
  <c r="X29" i="1"/>
  <c r="Y29" i="1"/>
  <c r="Z29" i="1" s="1"/>
  <c r="AA29" i="1" s="1"/>
  <c r="X30" i="1"/>
  <c r="Y30" i="1"/>
  <c r="Z30" i="1" s="1"/>
  <c r="AA30" i="1" s="1"/>
  <c r="X31" i="1"/>
  <c r="Y31" i="1"/>
  <c r="Z31" i="1" s="1"/>
  <c r="AA31" i="1" s="1"/>
  <c r="X32" i="1"/>
  <c r="Y32" i="1"/>
  <c r="Z32" i="1" s="1"/>
  <c r="AA32" i="1" s="1"/>
  <c r="X33" i="1"/>
  <c r="Y33" i="1"/>
  <c r="Z33" i="1" s="1"/>
  <c r="AA33" i="1" s="1"/>
  <c r="X34" i="1"/>
  <c r="Y34" i="1"/>
  <c r="Z34" i="1" s="1"/>
  <c r="AA34" i="1" s="1"/>
  <c r="X35" i="1"/>
  <c r="Y35" i="1"/>
  <c r="Z35" i="1" s="1"/>
  <c r="AA35" i="1" s="1"/>
  <c r="X36" i="1"/>
  <c r="Y36" i="1"/>
  <c r="Z36" i="1" s="1"/>
  <c r="AA36" i="1" s="1"/>
  <c r="X37" i="1"/>
  <c r="Y37" i="1"/>
  <c r="Z37" i="1" s="1"/>
  <c r="AA37" i="1" s="1"/>
  <c r="X38" i="1"/>
  <c r="Y38" i="1"/>
  <c r="Z38" i="1" s="1"/>
  <c r="AA38" i="1" s="1"/>
  <c r="X39" i="1"/>
  <c r="Y39" i="1"/>
  <c r="Z39" i="1" s="1"/>
  <c r="AA39" i="1" s="1"/>
  <c r="X40" i="1"/>
  <c r="Y40" i="1"/>
  <c r="Z40" i="1" s="1"/>
  <c r="AA40" i="1" s="1"/>
  <c r="X10" i="1"/>
  <c r="Y10" i="1" s="1"/>
  <c r="Z10" i="1" s="1"/>
  <c r="AA10" i="1" s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D39" i="1"/>
</calcChain>
</file>

<file path=xl/sharedStrings.xml><?xml version="1.0" encoding="utf-8"?>
<sst xmlns="http://schemas.openxmlformats.org/spreadsheetml/2006/main" count="123" uniqueCount="95">
  <si>
    <t>Date:</t>
  </si>
  <si>
    <t>2026-03-01 to 2026-03-31</t>
  </si>
  <si>
    <t>Name:</t>
  </si>
  <si>
    <t>All Restaurant Report: Day Wise</t>
  </si>
  <si>
    <t>Restaurants</t>
  </si>
  <si>
    <t>Date</t>
  </si>
  <si>
    <t>Invoice Nos.</t>
  </si>
  <si>
    <t>Total no. of bills</t>
  </si>
  <si>
    <t>My Amount</t>
  </si>
  <si>
    <t>Total Discount</t>
  </si>
  <si>
    <t>Net Sales(M.A - T.D)</t>
  </si>
  <si>
    <t>Delivery Charge</t>
  </si>
  <si>
    <t>Container Charge</t>
  </si>
  <si>
    <t>Service Charge</t>
  </si>
  <si>
    <t>Total Tax</t>
  </si>
  <si>
    <t>Waived off</t>
  </si>
  <si>
    <t>Round Off</t>
  </si>
  <si>
    <t>Total Sales</t>
  </si>
  <si>
    <t>Not Paid</t>
  </si>
  <si>
    <t>Cash</t>
  </si>
  <si>
    <t>Card</t>
  </si>
  <si>
    <t>Due Payment</t>
  </si>
  <si>
    <t>Other</t>
  </si>
  <si>
    <t>Wallet</t>
  </si>
  <si>
    <t>UPI</t>
  </si>
  <si>
    <t>Online</t>
  </si>
  <si>
    <t>Pax</t>
  </si>
  <si>
    <t>Total</t>
  </si>
  <si>
    <t>Min.</t>
  </si>
  <si>
    <t>Max.</t>
  </si>
  <si>
    <t>Avg.</t>
  </si>
  <si>
    <t>GABRU DI CHAPP (Miracle Mall, Gurugram)</t>
  </si>
  <si>
    <t>2026-03-01</t>
  </si>
  <si>
    <t>29-57</t>
  </si>
  <si>
    <t/>
  </si>
  <si>
    <t>2026-03-02</t>
  </si>
  <si>
    <t>58-67</t>
  </si>
  <si>
    <t>2026-03-03</t>
  </si>
  <si>
    <t>68-77</t>
  </si>
  <si>
    <t>2026-03-04</t>
  </si>
  <si>
    <t>78-89</t>
  </si>
  <si>
    <t>2026-03-05</t>
  </si>
  <si>
    <t>90-93</t>
  </si>
  <si>
    <t>2026-03-06</t>
  </si>
  <si>
    <t>94-104</t>
  </si>
  <si>
    <t>2026-03-07</t>
  </si>
  <si>
    <t>105-130</t>
  </si>
  <si>
    <t>2026-03-08</t>
  </si>
  <si>
    <t>131-139</t>
  </si>
  <si>
    <t>2026-03-09</t>
  </si>
  <si>
    <t>140-146</t>
  </si>
  <si>
    <t>2026-03-10</t>
  </si>
  <si>
    <t>147-152</t>
  </si>
  <si>
    <t>2026-03-11</t>
  </si>
  <si>
    <t>153-156</t>
  </si>
  <si>
    <t>2026-03-14</t>
  </si>
  <si>
    <t>157-170</t>
  </si>
  <si>
    <t>2026-03-15</t>
  </si>
  <si>
    <t>172-195</t>
  </si>
  <si>
    <t>2026-03-16</t>
  </si>
  <si>
    <t>196-211</t>
  </si>
  <si>
    <t>2026-03-17</t>
  </si>
  <si>
    <t>212-218</t>
  </si>
  <si>
    <t>2026-03-18</t>
  </si>
  <si>
    <t>219-229</t>
  </si>
  <si>
    <t>2026-03-19</t>
  </si>
  <si>
    <t>230-242</t>
  </si>
  <si>
    <t>2026-03-20</t>
  </si>
  <si>
    <t>243-253</t>
  </si>
  <si>
    <t>2026-03-21</t>
  </si>
  <si>
    <t>254-281</t>
  </si>
  <si>
    <t>2026-03-22</t>
  </si>
  <si>
    <t>282-316</t>
  </si>
  <si>
    <t>2026-03-23</t>
  </si>
  <si>
    <t>318-328</t>
  </si>
  <si>
    <t>2026-03-24</t>
  </si>
  <si>
    <t>329-337</t>
  </si>
  <si>
    <t>2026-03-25</t>
  </si>
  <si>
    <t>338-348</t>
  </si>
  <si>
    <t>2026-03-26</t>
  </si>
  <si>
    <t>349-373</t>
  </si>
  <si>
    <t>2026-03-27</t>
  </si>
  <si>
    <t>374-393</t>
  </si>
  <si>
    <t>2026-03-28</t>
  </si>
  <si>
    <t>394-424</t>
  </si>
  <si>
    <t>2026-03-29</t>
  </si>
  <si>
    <t>425-443</t>
  </si>
  <si>
    <t>2026-03-30</t>
  </si>
  <si>
    <t>444-453</t>
  </si>
  <si>
    <t>2026-03-31</t>
  </si>
  <si>
    <t>454-468</t>
  </si>
  <si>
    <t>Sub Total</t>
  </si>
  <si>
    <t>Taxable</t>
  </si>
  <si>
    <t>CGST</t>
  </si>
  <si>
    <t>SGST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</si>
</sst>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1" xfId="0" applyBorder="1"/>
    <xf numFmtId="2" fontId="0" fillId="0" borderId="1" xfId="0" applyNumberFormat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topLeftCell="B1" workbookViewId="0">
      <selection activeCell="X10" sqref="X10"/>
    </sheetView>
  </sheetViews>
  <sheetFormatPr defaultRowHeight="15"/>
  <cols>
    <col min="1" max="1" width="50.7109375" customWidth="1"/>
    <col min="2" max="2" width="13" customWidth="1"/>
    <col min="3" max="3" width="9.140625" customWidth="1"/>
    <col min="4" max="4" width="6.42578125" customWidth="1"/>
    <col min="5" max="7" width="10.42578125" customWidth="1"/>
    <col min="8" max="8" width="6" customWidth="1"/>
    <col min="9" max="9" width="7.85546875" customWidth="1"/>
    <col min="10" max="10" width="6" customWidth="1"/>
    <col min="11" max="11" width="9.140625" customWidth="1"/>
    <col min="12" max="12" width="6" customWidth="1"/>
    <col min="13" max="13" width="6.42578125" customWidth="1"/>
    <col min="14" max="14" width="10.42578125" customWidth="1"/>
    <col min="15" max="15" width="7.85546875" customWidth="1"/>
    <col min="16" max="16" width="10.42578125" customWidth="1"/>
    <col min="17" max="17" width="9.140625" customWidth="1"/>
    <col min="18" max="20" width="6" customWidth="1"/>
    <col min="21" max="22" width="9.140625" customWidth="1"/>
    <col min="23" max="23" width="6" customWidth="1"/>
    <col min="24" max="24" width="10.42578125" bestFit="1" customWidth="1"/>
    <col min="25" max="25" width="9.5703125" bestFit="1" customWidth="1"/>
  </cols>
  <sheetData>
    <row r="1" spans="1:27">
      <c r="A1" t="s">
        <v>0</v>
      </c>
      <c r="B1" t="s">
        <v>1</v>
      </c>
    </row>
    <row r="2" spans="1:27">
      <c r="A2" t="s">
        <v>2</v>
      </c>
      <c r="B2" t="s">
        <v>3</v>
      </c>
    </row>
    <row r="5" spans="1:27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</row>
    <row r="6" spans="1:27">
      <c r="A6" t="s">
        <v>27</v>
      </c>
      <c r="D6" s="2">
        <v>431</v>
      </c>
      <c r="E6" s="2">
        <v>193837</v>
      </c>
      <c r="F6">
        <v>17138.400000000001</v>
      </c>
      <c r="G6">
        <v>176698.6</v>
      </c>
      <c r="H6" s="2">
        <v>0</v>
      </c>
      <c r="I6" s="3">
        <v>1610.33</v>
      </c>
      <c r="J6" s="2">
        <v>0</v>
      </c>
      <c r="K6" s="3">
        <v>8917.92</v>
      </c>
      <c r="L6" s="2">
        <v>0</v>
      </c>
      <c r="M6" s="3">
        <v>-46.85</v>
      </c>
      <c r="N6" s="2">
        <v>187180</v>
      </c>
      <c r="O6" s="2">
        <v>1814</v>
      </c>
      <c r="P6" s="2">
        <v>23790</v>
      </c>
      <c r="Q6" s="2">
        <v>34176</v>
      </c>
      <c r="R6" s="2">
        <v>0</v>
      </c>
      <c r="S6" s="2">
        <v>0</v>
      </c>
      <c r="T6" s="2">
        <v>0</v>
      </c>
      <c r="U6" s="2">
        <v>96698</v>
      </c>
      <c r="V6" s="2">
        <v>30702</v>
      </c>
      <c r="W6" s="2">
        <v>0</v>
      </c>
    </row>
    <row r="7" spans="1:27">
      <c r="A7" t="s">
        <v>28</v>
      </c>
      <c r="D7" s="2">
        <v>4</v>
      </c>
      <c r="E7" s="2">
        <v>1164</v>
      </c>
      <c r="F7" s="2">
        <v>0</v>
      </c>
      <c r="G7">
        <v>1119.2</v>
      </c>
      <c r="H7" s="2">
        <v>0</v>
      </c>
      <c r="I7" s="2">
        <v>0</v>
      </c>
      <c r="J7" s="2">
        <v>0</v>
      </c>
      <c r="K7" s="3">
        <v>55.98</v>
      </c>
      <c r="L7" s="2">
        <v>0</v>
      </c>
      <c r="M7" s="2">
        <v>0</v>
      </c>
      <c r="N7" s="2">
        <v>1174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504</v>
      </c>
      <c r="V7" s="2">
        <v>0</v>
      </c>
      <c r="W7" s="2">
        <v>0</v>
      </c>
    </row>
    <row r="8" spans="1:27">
      <c r="A8" t="s">
        <v>29</v>
      </c>
      <c r="D8" s="2">
        <v>34</v>
      </c>
      <c r="E8" s="2">
        <v>22258</v>
      </c>
      <c r="F8" s="2">
        <v>10791</v>
      </c>
      <c r="G8">
        <v>20681.7</v>
      </c>
      <c r="H8" s="2">
        <v>0</v>
      </c>
      <c r="I8" s="3">
        <v>200.05</v>
      </c>
      <c r="J8" s="2">
        <v>0</v>
      </c>
      <c r="K8">
        <v>1034.2</v>
      </c>
      <c r="L8" s="2">
        <v>0</v>
      </c>
      <c r="M8" s="3">
        <v>1.64</v>
      </c>
      <c r="N8" s="2">
        <v>21709</v>
      </c>
      <c r="O8" s="2">
        <v>733</v>
      </c>
      <c r="P8" s="2">
        <v>12016</v>
      </c>
      <c r="Q8" s="2">
        <v>4426</v>
      </c>
      <c r="R8" s="2">
        <v>0</v>
      </c>
      <c r="S8" s="2">
        <v>0</v>
      </c>
      <c r="T8" s="2">
        <v>0</v>
      </c>
      <c r="U8" s="2">
        <v>9570</v>
      </c>
      <c r="V8" s="2">
        <v>3577</v>
      </c>
      <c r="W8" s="2">
        <v>0</v>
      </c>
    </row>
    <row r="9" spans="1:27">
      <c r="A9" t="s">
        <v>30</v>
      </c>
      <c r="D9" s="3">
        <v>14.86</v>
      </c>
      <c r="E9" s="3">
        <v>6684.03</v>
      </c>
      <c r="F9" s="3">
        <v>590.98</v>
      </c>
      <c r="G9" s="3">
        <v>6093.06</v>
      </c>
      <c r="H9" s="2">
        <v>0</v>
      </c>
      <c r="I9" s="3">
        <v>55.53</v>
      </c>
      <c r="J9" s="2">
        <v>0</v>
      </c>
      <c r="K9" s="3">
        <v>307.51</v>
      </c>
      <c r="L9" s="2">
        <v>0</v>
      </c>
      <c r="M9" s="3">
        <v>-1.62</v>
      </c>
      <c r="N9" s="3">
        <v>6454.48</v>
      </c>
      <c r="O9" s="3">
        <v>62.55</v>
      </c>
      <c r="P9" s="3">
        <v>820.34</v>
      </c>
      <c r="Q9" s="3">
        <v>1178.48</v>
      </c>
      <c r="R9" s="2">
        <v>0</v>
      </c>
      <c r="S9" s="2">
        <v>0</v>
      </c>
      <c r="T9" s="2">
        <v>0</v>
      </c>
      <c r="U9" s="3">
        <v>3334.41</v>
      </c>
      <c r="V9" s="3">
        <v>1058.69</v>
      </c>
      <c r="W9" s="2">
        <v>0</v>
      </c>
      <c r="X9" s="4" t="s">
        <v>17</v>
      </c>
      <c r="Y9" s="5" t="s">
        <v>92</v>
      </c>
      <c r="Z9" s="5" t="s">
        <v>93</v>
      </c>
      <c r="AA9" s="5" t="s">
        <v>94</v>
      </c>
    </row>
    <row r="10" spans="1:27">
      <c r="A10" t="s">
        <v>31</v>
      </c>
      <c r="B10" t="s">
        <v>32</v>
      </c>
      <c r="C10" t="s">
        <v>33</v>
      </c>
      <c r="D10" s="3">
        <v>29</v>
      </c>
      <c r="E10" s="3">
        <v>15372</v>
      </c>
      <c r="F10" s="3">
        <v>685.9</v>
      </c>
      <c r="G10" s="3">
        <v>14686.1</v>
      </c>
      <c r="H10" s="3">
        <v>0</v>
      </c>
      <c r="I10" s="3">
        <v>0</v>
      </c>
      <c r="J10" s="3">
        <v>0</v>
      </c>
      <c r="K10" s="3">
        <v>734.48</v>
      </c>
      <c r="L10" s="3">
        <v>0</v>
      </c>
      <c r="M10" s="3">
        <v>-5.58</v>
      </c>
      <c r="N10" s="3">
        <v>15415</v>
      </c>
      <c r="O10" s="3">
        <v>500</v>
      </c>
      <c r="P10" s="3">
        <v>919</v>
      </c>
      <c r="Q10" s="3">
        <v>4426</v>
      </c>
      <c r="R10" s="3">
        <v>0</v>
      </c>
      <c r="S10" s="3">
        <v>0</v>
      </c>
      <c r="T10" s="3">
        <v>0</v>
      </c>
      <c r="U10" s="3">
        <v>9570</v>
      </c>
      <c r="V10" s="3">
        <v>0</v>
      </c>
      <c r="W10" s="2">
        <v>0</v>
      </c>
      <c r="X10" s="5">
        <f>N10-V10</f>
        <v>15415</v>
      </c>
      <c r="Y10" s="5">
        <f>X10/105*100</f>
        <v>14680.95238095238</v>
      </c>
      <c r="Z10" s="5">
        <f>Y10*2.5%</f>
        <v>367.02380952380952</v>
      </c>
      <c r="AA10" s="5">
        <f>Z10</f>
        <v>367.02380952380952</v>
      </c>
    </row>
    <row r="11" spans="1:27">
      <c r="A11" t="s">
        <v>34</v>
      </c>
      <c r="B11" t="s">
        <v>35</v>
      </c>
      <c r="C11" t="s">
        <v>36</v>
      </c>
      <c r="D11" s="3">
        <v>10</v>
      </c>
      <c r="E11" s="3">
        <v>3664</v>
      </c>
      <c r="F11" s="3">
        <v>156.80000000000001</v>
      </c>
      <c r="G11" s="3">
        <v>3507.2</v>
      </c>
      <c r="H11" s="3">
        <v>0</v>
      </c>
      <c r="I11" s="3">
        <v>0</v>
      </c>
      <c r="J11" s="3">
        <v>0</v>
      </c>
      <c r="K11" s="3">
        <v>175.4</v>
      </c>
      <c r="L11" s="3">
        <v>0</v>
      </c>
      <c r="M11" s="3">
        <v>0.4</v>
      </c>
      <c r="N11" s="3">
        <v>3683</v>
      </c>
      <c r="O11" s="3">
        <v>581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3102</v>
      </c>
      <c r="V11" s="3">
        <v>0</v>
      </c>
      <c r="W11" s="2">
        <v>0</v>
      </c>
      <c r="X11" s="5">
        <f t="shared" ref="X11:X40" si="0">N11-V11</f>
        <v>3683</v>
      </c>
      <c r="Y11" s="5">
        <f t="shared" ref="Y11:Y40" si="1">X11/105*100</f>
        <v>3507.6190476190477</v>
      </c>
      <c r="Z11" s="5">
        <f t="shared" ref="Z11:Z40" si="2">Y11*2.5%</f>
        <v>87.690476190476204</v>
      </c>
      <c r="AA11" s="5">
        <f t="shared" ref="AA11:AA40" si="3">Z11</f>
        <v>87.690476190476204</v>
      </c>
    </row>
    <row r="12" spans="1:27">
      <c r="A12" t="s">
        <v>34</v>
      </c>
      <c r="B12" t="s">
        <v>37</v>
      </c>
      <c r="C12" t="s">
        <v>38</v>
      </c>
      <c r="D12" s="3">
        <v>10</v>
      </c>
      <c r="E12" s="3">
        <v>13428</v>
      </c>
      <c r="F12" s="3">
        <v>10791</v>
      </c>
      <c r="G12" s="3">
        <v>2637</v>
      </c>
      <c r="H12" s="3">
        <v>0</v>
      </c>
      <c r="I12" s="3">
        <v>0</v>
      </c>
      <c r="J12" s="3">
        <v>0</v>
      </c>
      <c r="K12" s="3">
        <v>131.9</v>
      </c>
      <c r="L12" s="3">
        <v>0</v>
      </c>
      <c r="M12" s="3">
        <v>-2.9</v>
      </c>
      <c r="N12" s="3">
        <v>2766</v>
      </c>
      <c r="O12" s="3">
        <v>0</v>
      </c>
      <c r="P12" s="3">
        <v>582</v>
      </c>
      <c r="Q12" s="3">
        <v>238</v>
      </c>
      <c r="R12" s="3">
        <v>0</v>
      </c>
      <c r="S12" s="3">
        <v>0</v>
      </c>
      <c r="T12" s="3">
        <v>0</v>
      </c>
      <c r="U12" s="3">
        <v>1946</v>
      </c>
      <c r="V12" s="3">
        <v>0</v>
      </c>
      <c r="W12" s="2">
        <v>0</v>
      </c>
      <c r="X12" s="5">
        <f t="shared" si="0"/>
        <v>2766</v>
      </c>
      <c r="Y12" s="5">
        <f t="shared" si="1"/>
        <v>2634.2857142857142</v>
      </c>
      <c r="Z12" s="5">
        <f t="shared" si="2"/>
        <v>65.857142857142861</v>
      </c>
      <c r="AA12" s="5">
        <f t="shared" si="3"/>
        <v>65.857142857142861</v>
      </c>
    </row>
    <row r="13" spans="1:27">
      <c r="A13" t="s">
        <v>34</v>
      </c>
      <c r="B13" t="s">
        <v>39</v>
      </c>
      <c r="C13" t="s">
        <v>40</v>
      </c>
      <c r="D13" s="3">
        <v>12</v>
      </c>
      <c r="E13" s="3">
        <v>5580</v>
      </c>
      <c r="F13" s="3">
        <v>0</v>
      </c>
      <c r="G13" s="3">
        <v>5580</v>
      </c>
      <c r="H13" s="3">
        <v>0</v>
      </c>
      <c r="I13" s="3">
        <v>0</v>
      </c>
      <c r="J13" s="3">
        <v>0</v>
      </c>
      <c r="K13" s="3">
        <v>279.06</v>
      </c>
      <c r="L13" s="3">
        <v>0</v>
      </c>
      <c r="M13" s="3">
        <v>-1.06</v>
      </c>
      <c r="N13" s="3">
        <v>5858</v>
      </c>
      <c r="O13" s="3">
        <v>733</v>
      </c>
      <c r="P13" s="3">
        <v>795</v>
      </c>
      <c r="Q13" s="3">
        <v>1502</v>
      </c>
      <c r="R13" s="3">
        <v>0</v>
      </c>
      <c r="S13" s="3">
        <v>0</v>
      </c>
      <c r="T13" s="3">
        <v>0</v>
      </c>
      <c r="U13" s="3">
        <v>2828</v>
      </c>
      <c r="V13" s="3">
        <v>0</v>
      </c>
      <c r="W13" s="2">
        <v>0</v>
      </c>
      <c r="X13" s="5">
        <f t="shared" si="0"/>
        <v>5858</v>
      </c>
      <c r="Y13" s="5">
        <f t="shared" si="1"/>
        <v>5579.0476190476193</v>
      </c>
      <c r="Z13" s="5">
        <f t="shared" si="2"/>
        <v>139.47619047619048</v>
      </c>
      <c r="AA13" s="5">
        <f t="shared" si="3"/>
        <v>139.47619047619048</v>
      </c>
    </row>
    <row r="14" spans="1:27">
      <c r="A14" t="s">
        <v>34</v>
      </c>
      <c r="B14" t="s">
        <v>41</v>
      </c>
      <c r="C14" t="s">
        <v>42</v>
      </c>
      <c r="D14" s="3">
        <v>4</v>
      </c>
      <c r="E14" s="3">
        <v>1164</v>
      </c>
      <c r="F14" s="3">
        <v>44.8</v>
      </c>
      <c r="G14" s="3">
        <v>1119.2</v>
      </c>
      <c r="H14" s="3">
        <v>0</v>
      </c>
      <c r="I14" s="3">
        <v>0</v>
      </c>
      <c r="J14" s="3">
        <v>0</v>
      </c>
      <c r="K14" s="3">
        <v>55.98</v>
      </c>
      <c r="L14" s="3">
        <v>0</v>
      </c>
      <c r="M14" s="3">
        <v>-1.18</v>
      </c>
      <c r="N14" s="3">
        <v>1174</v>
      </c>
      <c r="O14" s="3">
        <v>0</v>
      </c>
      <c r="P14" s="3">
        <v>423</v>
      </c>
      <c r="Q14" s="3">
        <v>0</v>
      </c>
      <c r="R14" s="3">
        <v>0</v>
      </c>
      <c r="S14" s="3">
        <v>0</v>
      </c>
      <c r="T14" s="3">
        <v>0</v>
      </c>
      <c r="U14" s="3">
        <v>751</v>
      </c>
      <c r="V14" s="3">
        <v>0</v>
      </c>
      <c r="W14" s="2">
        <v>0</v>
      </c>
      <c r="X14" s="5">
        <f t="shared" si="0"/>
        <v>1174</v>
      </c>
      <c r="Y14" s="5">
        <f t="shared" si="1"/>
        <v>1118.0952380952381</v>
      </c>
      <c r="Z14" s="5">
        <f t="shared" si="2"/>
        <v>27.952380952380953</v>
      </c>
      <c r="AA14" s="5">
        <f t="shared" si="3"/>
        <v>27.952380952380953</v>
      </c>
    </row>
    <row r="15" spans="1:27">
      <c r="A15" t="s">
        <v>34</v>
      </c>
      <c r="B15" t="s">
        <v>43</v>
      </c>
      <c r="C15" t="s">
        <v>44</v>
      </c>
      <c r="D15" s="3">
        <v>11</v>
      </c>
      <c r="E15" s="3">
        <v>3144</v>
      </c>
      <c r="F15" s="3">
        <v>33.200000000000003</v>
      </c>
      <c r="G15" s="3">
        <v>3110.8</v>
      </c>
      <c r="H15" s="3">
        <v>0</v>
      </c>
      <c r="I15" s="3">
        <v>0</v>
      </c>
      <c r="J15" s="3">
        <v>0</v>
      </c>
      <c r="K15" s="3">
        <v>155.6</v>
      </c>
      <c r="L15" s="3">
        <v>0</v>
      </c>
      <c r="M15" s="3">
        <v>-0.4</v>
      </c>
      <c r="N15" s="3">
        <v>3266</v>
      </c>
      <c r="O15" s="3">
        <v>0</v>
      </c>
      <c r="P15" s="3">
        <v>230</v>
      </c>
      <c r="Q15" s="3">
        <v>876</v>
      </c>
      <c r="R15" s="3">
        <v>0</v>
      </c>
      <c r="S15" s="3">
        <v>0</v>
      </c>
      <c r="T15" s="3">
        <v>0</v>
      </c>
      <c r="U15" s="3">
        <v>2160</v>
      </c>
      <c r="V15" s="3">
        <v>0</v>
      </c>
      <c r="W15" s="2">
        <v>0</v>
      </c>
      <c r="X15" s="5">
        <f t="shared" si="0"/>
        <v>3266</v>
      </c>
      <c r="Y15" s="5">
        <f t="shared" si="1"/>
        <v>3110.4761904761904</v>
      </c>
      <c r="Z15" s="5">
        <f t="shared" si="2"/>
        <v>77.761904761904759</v>
      </c>
      <c r="AA15" s="5">
        <f t="shared" si="3"/>
        <v>77.761904761904759</v>
      </c>
    </row>
    <row r="16" spans="1:27">
      <c r="A16" t="s">
        <v>34</v>
      </c>
      <c r="B16" t="s">
        <v>45</v>
      </c>
      <c r="C16" t="s">
        <v>46</v>
      </c>
      <c r="D16" s="3">
        <v>25</v>
      </c>
      <c r="E16" s="3">
        <v>22258</v>
      </c>
      <c r="F16" s="3">
        <v>1576.3</v>
      </c>
      <c r="G16" s="3">
        <v>20681.7</v>
      </c>
      <c r="H16" s="3">
        <v>0</v>
      </c>
      <c r="I16" s="3">
        <v>0</v>
      </c>
      <c r="J16" s="3">
        <v>0</v>
      </c>
      <c r="K16" s="3">
        <v>1034.2</v>
      </c>
      <c r="L16" s="3">
        <v>0</v>
      </c>
      <c r="M16" s="3">
        <v>-6.9</v>
      </c>
      <c r="N16" s="3">
        <v>21709</v>
      </c>
      <c r="O16" s="3">
        <v>0</v>
      </c>
      <c r="P16" s="3">
        <v>12016</v>
      </c>
      <c r="Q16" s="3">
        <v>3960</v>
      </c>
      <c r="R16" s="3">
        <v>0</v>
      </c>
      <c r="S16" s="3">
        <v>0</v>
      </c>
      <c r="T16" s="3">
        <v>0</v>
      </c>
      <c r="U16" s="3">
        <v>5733</v>
      </c>
      <c r="V16" s="3">
        <v>0</v>
      </c>
      <c r="W16" s="2">
        <v>0</v>
      </c>
      <c r="X16" s="5">
        <f t="shared" si="0"/>
        <v>21709</v>
      </c>
      <c r="Y16" s="5">
        <f t="shared" si="1"/>
        <v>20675.238095238095</v>
      </c>
      <c r="Z16" s="5">
        <f t="shared" si="2"/>
        <v>516.88095238095241</v>
      </c>
      <c r="AA16" s="5">
        <f t="shared" si="3"/>
        <v>516.88095238095241</v>
      </c>
    </row>
    <row r="17" spans="1:27">
      <c r="A17" t="s">
        <v>34</v>
      </c>
      <c r="B17" t="s">
        <v>47</v>
      </c>
      <c r="C17" t="s">
        <v>48</v>
      </c>
      <c r="D17" s="3">
        <v>9</v>
      </c>
      <c r="E17" s="3">
        <v>4012</v>
      </c>
      <c r="F17" s="3">
        <v>0</v>
      </c>
      <c r="G17" s="3">
        <v>4012</v>
      </c>
      <c r="H17" s="3">
        <v>0</v>
      </c>
      <c r="I17" s="3">
        <v>0</v>
      </c>
      <c r="J17" s="3">
        <v>0</v>
      </c>
      <c r="K17" s="3">
        <v>200.64</v>
      </c>
      <c r="L17" s="3">
        <v>0</v>
      </c>
      <c r="M17" s="3">
        <v>-0.64</v>
      </c>
      <c r="N17" s="3">
        <v>4212</v>
      </c>
      <c r="O17" s="3">
        <v>0</v>
      </c>
      <c r="P17" s="3">
        <v>804</v>
      </c>
      <c r="Q17" s="3">
        <v>2178</v>
      </c>
      <c r="R17" s="3">
        <v>0</v>
      </c>
      <c r="S17" s="3">
        <v>0</v>
      </c>
      <c r="T17" s="3">
        <v>0</v>
      </c>
      <c r="U17" s="3">
        <v>1230</v>
      </c>
      <c r="V17" s="3">
        <v>0</v>
      </c>
      <c r="W17" s="2">
        <v>0</v>
      </c>
      <c r="X17" s="5">
        <f t="shared" si="0"/>
        <v>4212</v>
      </c>
      <c r="Y17" s="5">
        <f t="shared" si="1"/>
        <v>4011.4285714285716</v>
      </c>
      <c r="Z17" s="5">
        <f t="shared" si="2"/>
        <v>100.28571428571429</v>
      </c>
      <c r="AA17" s="5">
        <f t="shared" si="3"/>
        <v>100.28571428571429</v>
      </c>
    </row>
    <row r="18" spans="1:27">
      <c r="A18" t="s">
        <v>34</v>
      </c>
      <c r="B18" t="s">
        <v>49</v>
      </c>
      <c r="C18" t="s">
        <v>50</v>
      </c>
      <c r="D18" s="3">
        <v>7</v>
      </c>
      <c r="E18" s="3">
        <v>2577</v>
      </c>
      <c r="F18" s="3">
        <v>0</v>
      </c>
      <c r="G18" s="3">
        <v>2577</v>
      </c>
      <c r="H18" s="3">
        <v>0</v>
      </c>
      <c r="I18" s="3">
        <v>45</v>
      </c>
      <c r="J18" s="3">
        <v>0</v>
      </c>
      <c r="K18" s="3">
        <v>131.13999999999999</v>
      </c>
      <c r="L18" s="3">
        <v>0</v>
      </c>
      <c r="M18" s="3">
        <v>-1.1399999999999999</v>
      </c>
      <c r="N18" s="3">
        <v>2752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2036</v>
      </c>
      <c r="V18" s="3">
        <v>716</v>
      </c>
      <c r="W18" s="2">
        <v>0</v>
      </c>
      <c r="X18" s="5">
        <f t="shared" si="0"/>
        <v>2036</v>
      </c>
      <c r="Y18" s="5">
        <f t="shared" si="1"/>
        <v>1939.0476190476188</v>
      </c>
      <c r="Z18" s="5">
        <f t="shared" si="2"/>
        <v>48.476190476190474</v>
      </c>
      <c r="AA18" s="5">
        <f t="shared" si="3"/>
        <v>48.476190476190474</v>
      </c>
    </row>
    <row r="19" spans="1:27">
      <c r="A19" t="s">
        <v>34</v>
      </c>
      <c r="B19" t="s">
        <v>51</v>
      </c>
      <c r="C19" t="s">
        <v>52</v>
      </c>
      <c r="D19" s="3">
        <v>6</v>
      </c>
      <c r="E19" s="3">
        <v>2552</v>
      </c>
      <c r="F19" s="3">
        <v>26.8</v>
      </c>
      <c r="G19" s="3">
        <v>2525.1999999999998</v>
      </c>
      <c r="H19" s="3">
        <v>0</v>
      </c>
      <c r="I19" s="3">
        <v>40.4</v>
      </c>
      <c r="J19" s="3">
        <v>0</v>
      </c>
      <c r="K19" s="3">
        <v>128.32</v>
      </c>
      <c r="L19" s="3">
        <v>0</v>
      </c>
      <c r="M19" s="3">
        <v>0.08</v>
      </c>
      <c r="N19" s="3">
        <v>2694</v>
      </c>
      <c r="O19" s="3">
        <v>0</v>
      </c>
      <c r="P19" s="3">
        <v>0</v>
      </c>
      <c r="Q19" s="3">
        <v>467</v>
      </c>
      <c r="R19" s="3">
        <v>0</v>
      </c>
      <c r="S19" s="3">
        <v>0</v>
      </c>
      <c r="T19" s="3">
        <v>0</v>
      </c>
      <c r="U19" s="3">
        <v>1453</v>
      </c>
      <c r="V19" s="3">
        <v>774</v>
      </c>
      <c r="W19" s="2">
        <v>0</v>
      </c>
      <c r="X19" s="5">
        <f t="shared" si="0"/>
        <v>1920</v>
      </c>
      <c r="Y19" s="5">
        <f t="shared" si="1"/>
        <v>1828.5714285714284</v>
      </c>
      <c r="Z19" s="5">
        <f t="shared" si="2"/>
        <v>45.714285714285715</v>
      </c>
      <c r="AA19" s="5">
        <f t="shared" si="3"/>
        <v>45.714285714285715</v>
      </c>
    </row>
    <row r="20" spans="1:27">
      <c r="A20" t="s">
        <v>34</v>
      </c>
      <c r="B20" t="s">
        <v>53</v>
      </c>
      <c r="C20" t="s">
        <v>54</v>
      </c>
      <c r="D20" s="3">
        <v>4</v>
      </c>
      <c r="E20" s="3">
        <v>1373</v>
      </c>
      <c r="F20" s="3">
        <v>19.8</v>
      </c>
      <c r="G20" s="3">
        <v>1353.2</v>
      </c>
      <c r="H20" s="3">
        <v>0</v>
      </c>
      <c r="I20" s="3">
        <v>10.95</v>
      </c>
      <c r="J20" s="3">
        <v>0</v>
      </c>
      <c r="K20" s="3">
        <v>68.22</v>
      </c>
      <c r="L20" s="3">
        <v>0</v>
      </c>
      <c r="M20" s="3">
        <v>-1.37</v>
      </c>
      <c r="N20" s="3">
        <v>1431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1190</v>
      </c>
      <c r="V20" s="3">
        <v>241</v>
      </c>
      <c r="W20" s="2">
        <v>0</v>
      </c>
      <c r="X20" s="5">
        <f t="shared" si="0"/>
        <v>1190</v>
      </c>
      <c r="Y20" s="5">
        <f t="shared" si="1"/>
        <v>1133.3333333333335</v>
      </c>
      <c r="Z20" s="5">
        <f t="shared" si="2"/>
        <v>28.333333333333339</v>
      </c>
      <c r="AA20" s="5">
        <f t="shared" si="3"/>
        <v>28.333333333333339</v>
      </c>
    </row>
    <row r="21" spans="1:27">
      <c r="A21" t="s">
        <v>34</v>
      </c>
      <c r="B21" t="s">
        <v>55</v>
      </c>
      <c r="C21" t="s">
        <v>56</v>
      </c>
      <c r="D21" s="3">
        <v>14</v>
      </c>
      <c r="E21" s="3">
        <v>6850</v>
      </c>
      <c r="F21" s="3">
        <v>0</v>
      </c>
      <c r="G21" s="3">
        <v>6850</v>
      </c>
      <c r="H21" s="3">
        <v>0</v>
      </c>
      <c r="I21" s="3">
        <v>74.95</v>
      </c>
      <c r="J21" s="3">
        <v>0</v>
      </c>
      <c r="K21" s="3">
        <v>346.32</v>
      </c>
      <c r="L21" s="3">
        <v>0</v>
      </c>
      <c r="M21" s="3">
        <v>-0.27</v>
      </c>
      <c r="N21" s="3">
        <v>7271</v>
      </c>
      <c r="O21" s="3">
        <v>0</v>
      </c>
      <c r="P21" s="3">
        <v>0</v>
      </c>
      <c r="Q21" s="3">
        <v>208</v>
      </c>
      <c r="R21" s="3">
        <v>0</v>
      </c>
      <c r="S21" s="3">
        <v>0</v>
      </c>
      <c r="T21" s="3">
        <v>0</v>
      </c>
      <c r="U21" s="3">
        <v>5666</v>
      </c>
      <c r="V21" s="3">
        <v>1397</v>
      </c>
      <c r="W21" s="2">
        <v>0</v>
      </c>
      <c r="X21" s="5">
        <f t="shared" si="0"/>
        <v>5874</v>
      </c>
      <c r="Y21" s="5">
        <f t="shared" si="1"/>
        <v>5594.2857142857147</v>
      </c>
      <c r="Z21" s="5">
        <f t="shared" si="2"/>
        <v>139.85714285714286</v>
      </c>
      <c r="AA21" s="5">
        <f t="shared" si="3"/>
        <v>139.85714285714286</v>
      </c>
    </row>
    <row r="22" spans="1:27">
      <c r="A22" t="s">
        <v>34</v>
      </c>
      <c r="B22" t="s">
        <v>57</v>
      </c>
      <c r="C22" t="s">
        <v>58</v>
      </c>
      <c r="D22" s="3">
        <v>24</v>
      </c>
      <c r="E22" s="3">
        <v>10837</v>
      </c>
      <c r="F22" s="3">
        <v>139.97999999999999</v>
      </c>
      <c r="G22" s="3">
        <v>10697.02</v>
      </c>
      <c r="H22" s="3">
        <v>0</v>
      </c>
      <c r="I22" s="3">
        <v>144.1</v>
      </c>
      <c r="J22" s="3">
        <v>0</v>
      </c>
      <c r="K22" s="3">
        <v>542.26</v>
      </c>
      <c r="L22" s="3">
        <v>0</v>
      </c>
      <c r="M22" s="3">
        <v>-2.38</v>
      </c>
      <c r="N22" s="3">
        <v>11381</v>
      </c>
      <c r="O22" s="3">
        <v>0</v>
      </c>
      <c r="P22" s="3">
        <v>312</v>
      </c>
      <c r="Q22" s="3">
        <v>1169</v>
      </c>
      <c r="R22" s="3">
        <v>0</v>
      </c>
      <c r="S22" s="3">
        <v>0</v>
      </c>
      <c r="T22" s="3">
        <v>0</v>
      </c>
      <c r="U22" s="3">
        <v>6867</v>
      </c>
      <c r="V22" s="3">
        <v>3033</v>
      </c>
      <c r="W22" s="2">
        <v>0</v>
      </c>
      <c r="X22" s="5">
        <f t="shared" si="0"/>
        <v>8348</v>
      </c>
      <c r="Y22" s="5">
        <f t="shared" si="1"/>
        <v>7950.4761904761908</v>
      </c>
      <c r="Z22" s="5">
        <f t="shared" si="2"/>
        <v>198.76190476190479</v>
      </c>
      <c r="AA22" s="5">
        <f t="shared" si="3"/>
        <v>198.76190476190479</v>
      </c>
    </row>
    <row r="23" spans="1:27">
      <c r="A23" t="s">
        <v>34</v>
      </c>
      <c r="B23" t="s">
        <v>59</v>
      </c>
      <c r="C23" t="s">
        <v>60</v>
      </c>
      <c r="D23" s="3">
        <v>15</v>
      </c>
      <c r="E23" s="3">
        <v>5644</v>
      </c>
      <c r="F23" s="3">
        <v>384.96</v>
      </c>
      <c r="G23" s="3">
        <v>5259.04</v>
      </c>
      <c r="H23" s="3">
        <v>0</v>
      </c>
      <c r="I23" s="3">
        <v>175</v>
      </c>
      <c r="J23" s="3">
        <v>0</v>
      </c>
      <c r="K23" s="3">
        <v>271.77999999999997</v>
      </c>
      <c r="L23" s="3">
        <v>0</v>
      </c>
      <c r="M23" s="3">
        <v>-1.82</v>
      </c>
      <c r="N23" s="3">
        <v>5704</v>
      </c>
      <c r="O23" s="3">
        <v>0</v>
      </c>
      <c r="P23" s="3">
        <v>359</v>
      </c>
      <c r="Q23" s="3">
        <v>271</v>
      </c>
      <c r="R23" s="3">
        <v>0</v>
      </c>
      <c r="S23" s="3">
        <v>0</v>
      </c>
      <c r="T23" s="3">
        <v>0</v>
      </c>
      <c r="U23" s="3">
        <v>1836</v>
      </c>
      <c r="V23" s="3">
        <v>3238</v>
      </c>
      <c r="W23" s="2">
        <v>0</v>
      </c>
      <c r="X23" s="5">
        <f t="shared" si="0"/>
        <v>2466</v>
      </c>
      <c r="Y23" s="5">
        <f t="shared" si="1"/>
        <v>2348.5714285714284</v>
      </c>
      <c r="Z23" s="5">
        <f t="shared" si="2"/>
        <v>58.714285714285715</v>
      </c>
      <c r="AA23" s="5">
        <f t="shared" si="3"/>
        <v>58.714285714285715</v>
      </c>
    </row>
    <row r="24" spans="1:27">
      <c r="A24" t="s">
        <v>34</v>
      </c>
      <c r="B24" t="s">
        <v>61</v>
      </c>
      <c r="C24" t="s">
        <v>62</v>
      </c>
      <c r="D24" s="3">
        <v>7</v>
      </c>
      <c r="E24" s="3">
        <v>3299</v>
      </c>
      <c r="F24" s="3">
        <v>0</v>
      </c>
      <c r="G24" s="3">
        <v>3299</v>
      </c>
      <c r="H24" s="3">
        <v>0</v>
      </c>
      <c r="I24" s="3">
        <v>0</v>
      </c>
      <c r="J24" s="3">
        <v>0</v>
      </c>
      <c r="K24" s="3">
        <v>165</v>
      </c>
      <c r="L24" s="3">
        <v>0</v>
      </c>
      <c r="M24" s="3">
        <v>-1</v>
      </c>
      <c r="N24" s="3">
        <v>3463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3463</v>
      </c>
      <c r="V24" s="3">
        <v>0</v>
      </c>
      <c r="W24" s="2">
        <v>0</v>
      </c>
      <c r="X24" s="5">
        <f t="shared" si="0"/>
        <v>3463</v>
      </c>
      <c r="Y24" s="5">
        <f t="shared" si="1"/>
        <v>3298.0952380952381</v>
      </c>
      <c r="Z24" s="5">
        <f t="shared" si="2"/>
        <v>82.452380952380963</v>
      </c>
      <c r="AA24" s="5">
        <f t="shared" si="3"/>
        <v>82.452380952380963</v>
      </c>
    </row>
    <row r="25" spans="1:27">
      <c r="A25" t="s">
        <v>34</v>
      </c>
      <c r="B25" t="s">
        <v>63</v>
      </c>
      <c r="C25" t="s">
        <v>64</v>
      </c>
      <c r="D25" s="3">
        <v>11</v>
      </c>
      <c r="E25" s="3">
        <v>4654</v>
      </c>
      <c r="F25" s="3">
        <v>69.989999999999995</v>
      </c>
      <c r="G25" s="3">
        <v>4584.01</v>
      </c>
      <c r="H25" s="3">
        <v>0</v>
      </c>
      <c r="I25" s="3">
        <v>30</v>
      </c>
      <c r="J25" s="3">
        <v>0</v>
      </c>
      <c r="K25" s="3">
        <v>230.76</v>
      </c>
      <c r="L25" s="3">
        <v>0</v>
      </c>
      <c r="M25" s="3">
        <v>-1.77</v>
      </c>
      <c r="N25" s="3">
        <v>4843</v>
      </c>
      <c r="O25" s="3">
        <v>0</v>
      </c>
      <c r="P25" s="3">
        <v>397</v>
      </c>
      <c r="Q25" s="3">
        <v>429</v>
      </c>
      <c r="R25" s="3">
        <v>0</v>
      </c>
      <c r="S25" s="3">
        <v>0</v>
      </c>
      <c r="T25" s="3">
        <v>0</v>
      </c>
      <c r="U25" s="3">
        <v>3494</v>
      </c>
      <c r="V25" s="3">
        <v>523</v>
      </c>
      <c r="W25" s="2">
        <v>0</v>
      </c>
      <c r="X25" s="5">
        <f t="shared" si="0"/>
        <v>4320</v>
      </c>
      <c r="Y25" s="5">
        <f t="shared" si="1"/>
        <v>4114.2857142857147</v>
      </c>
      <c r="Z25" s="5">
        <f t="shared" si="2"/>
        <v>102.85714285714288</v>
      </c>
      <c r="AA25" s="5">
        <f t="shared" si="3"/>
        <v>102.85714285714288</v>
      </c>
    </row>
    <row r="26" spans="1:27">
      <c r="A26" t="s">
        <v>34</v>
      </c>
      <c r="B26" t="s">
        <v>65</v>
      </c>
      <c r="C26" t="s">
        <v>66</v>
      </c>
      <c r="D26" s="3">
        <v>13</v>
      </c>
      <c r="E26" s="3">
        <v>4123</v>
      </c>
      <c r="F26" s="3">
        <v>202.65</v>
      </c>
      <c r="G26" s="3">
        <v>3920.35</v>
      </c>
      <c r="H26" s="3">
        <v>0</v>
      </c>
      <c r="I26" s="3">
        <v>61.4</v>
      </c>
      <c r="J26" s="3">
        <v>0</v>
      </c>
      <c r="K26" s="3">
        <v>199.18</v>
      </c>
      <c r="L26" s="3">
        <v>0</v>
      </c>
      <c r="M26" s="3">
        <v>-0.93</v>
      </c>
      <c r="N26" s="3">
        <v>4180</v>
      </c>
      <c r="O26" s="3">
        <v>0</v>
      </c>
      <c r="P26" s="3">
        <v>0</v>
      </c>
      <c r="Q26" s="3">
        <v>1146</v>
      </c>
      <c r="R26" s="3">
        <v>0</v>
      </c>
      <c r="S26" s="3">
        <v>0</v>
      </c>
      <c r="T26" s="3">
        <v>0</v>
      </c>
      <c r="U26" s="3">
        <v>2054</v>
      </c>
      <c r="V26" s="3">
        <v>980</v>
      </c>
      <c r="W26" s="2">
        <v>0</v>
      </c>
      <c r="X26" s="5">
        <f t="shared" si="0"/>
        <v>3200</v>
      </c>
      <c r="Y26" s="5">
        <f t="shared" si="1"/>
        <v>3047.6190476190473</v>
      </c>
      <c r="Z26" s="5">
        <f t="shared" si="2"/>
        <v>76.19047619047619</v>
      </c>
      <c r="AA26" s="5">
        <f t="shared" si="3"/>
        <v>76.19047619047619</v>
      </c>
    </row>
    <row r="27" spans="1:27">
      <c r="A27" t="s">
        <v>34</v>
      </c>
      <c r="B27" t="s">
        <v>67</v>
      </c>
      <c r="C27" t="s">
        <v>68</v>
      </c>
      <c r="D27" s="3">
        <v>11</v>
      </c>
      <c r="E27" s="3">
        <v>3836</v>
      </c>
      <c r="F27" s="3">
        <v>69.989999999999995</v>
      </c>
      <c r="G27" s="3">
        <v>3766.01</v>
      </c>
      <c r="H27" s="3">
        <v>0</v>
      </c>
      <c r="I27" s="3">
        <v>53.85</v>
      </c>
      <c r="J27" s="3">
        <v>0</v>
      </c>
      <c r="K27" s="3">
        <v>191.06</v>
      </c>
      <c r="L27" s="3">
        <v>0</v>
      </c>
      <c r="M27" s="3">
        <v>-0.92</v>
      </c>
      <c r="N27" s="3">
        <v>4010</v>
      </c>
      <c r="O27" s="3">
        <v>0</v>
      </c>
      <c r="P27" s="3">
        <v>0</v>
      </c>
      <c r="Q27" s="3">
        <v>1648</v>
      </c>
      <c r="R27" s="3">
        <v>0</v>
      </c>
      <c r="S27" s="3">
        <v>0</v>
      </c>
      <c r="T27" s="3">
        <v>0</v>
      </c>
      <c r="U27" s="3">
        <v>1177</v>
      </c>
      <c r="V27" s="3">
        <v>1185</v>
      </c>
      <c r="W27" s="2">
        <v>0</v>
      </c>
      <c r="X27" s="5">
        <f t="shared" si="0"/>
        <v>2825</v>
      </c>
      <c r="Y27" s="5">
        <f t="shared" si="1"/>
        <v>2690.4761904761904</v>
      </c>
      <c r="Z27" s="5">
        <f t="shared" si="2"/>
        <v>67.261904761904759</v>
      </c>
      <c r="AA27" s="5">
        <f t="shared" si="3"/>
        <v>67.261904761904759</v>
      </c>
    </row>
    <row r="28" spans="1:27">
      <c r="A28" t="s">
        <v>34</v>
      </c>
      <c r="B28" t="s">
        <v>69</v>
      </c>
      <c r="C28" t="s">
        <v>70</v>
      </c>
      <c r="D28" s="3">
        <v>28</v>
      </c>
      <c r="E28" s="3">
        <v>11592</v>
      </c>
      <c r="F28" s="3">
        <v>276.14999999999998</v>
      </c>
      <c r="G28" s="3">
        <v>11315.85</v>
      </c>
      <c r="H28" s="3">
        <v>0</v>
      </c>
      <c r="I28" s="3">
        <v>70</v>
      </c>
      <c r="J28" s="3">
        <v>0</v>
      </c>
      <c r="K28" s="3">
        <v>569.44000000000005</v>
      </c>
      <c r="L28" s="3">
        <v>0</v>
      </c>
      <c r="M28" s="3">
        <v>-2.29</v>
      </c>
      <c r="N28" s="3">
        <v>11953</v>
      </c>
      <c r="O28" s="3">
        <v>0</v>
      </c>
      <c r="P28" s="3">
        <v>916</v>
      </c>
      <c r="Q28" s="3">
        <v>3211</v>
      </c>
      <c r="R28" s="3">
        <v>0</v>
      </c>
      <c r="S28" s="3">
        <v>0</v>
      </c>
      <c r="T28" s="3">
        <v>0</v>
      </c>
      <c r="U28" s="3">
        <v>6662</v>
      </c>
      <c r="V28" s="3">
        <v>1164</v>
      </c>
      <c r="W28" s="2">
        <v>0</v>
      </c>
      <c r="X28" s="5">
        <f t="shared" si="0"/>
        <v>10789</v>
      </c>
      <c r="Y28" s="5">
        <f t="shared" si="1"/>
        <v>10275.238095238095</v>
      </c>
      <c r="Z28" s="5">
        <f t="shared" si="2"/>
        <v>256.88095238095241</v>
      </c>
      <c r="AA28" s="5">
        <f t="shared" si="3"/>
        <v>256.88095238095241</v>
      </c>
    </row>
    <row r="29" spans="1:27">
      <c r="A29" t="s">
        <v>34</v>
      </c>
      <c r="B29" t="s">
        <v>71</v>
      </c>
      <c r="C29" t="s">
        <v>72</v>
      </c>
      <c r="D29" s="3">
        <v>34</v>
      </c>
      <c r="E29" s="3">
        <v>13599</v>
      </c>
      <c r="F29" s="3">
        <v>276.13</v>
      </c>
      <c r="G29" s="3">
        <v>13322.87</v>
      </c>
      <c r="H29" s="3">
        <v>0</v>
      </c>
      <c r="I29" s="3">
        <v>183.15</v>
      </c>
      <c r="J29" s="3">
        <v>0</v>
      </c>
      <c r="K29" s="3">
        <v>675.52</v>
      </c>
      <c r="L29" s="3">
        <v>0</v>
      </c>
      <c r="M29" s="3">
        <v>-2.54</v>
      </c>
      <c r="N29" s="3">
        <v>14179</v>
      </c>
      <c r="O29" s="3">
        <v>0</v>
      </c>
      <c r="P29" s="3">
        <v>1278</v>
      </c>
      <c r="Q29" s="3">
        <v>1814</v>
      </c>
      <c r="R29" s="3">
        <v>0</v>
      </c>
      <c r="S29" s="3">
        <v>0</v>
      </c>
      <c r="T29" s="3">
        <v>0</v>
      </c>
      <c r="U29" s="3">
        <v>7701</v>
      </c>
      <c r="V29" s="3">
        <v>3386</v>
      </c>
      <c r="W29" s="2">
        <v>0</v>
      </c>
      <c r="X29" s="5">
        <f t="shared" si="0"/>
        <v>10793</v>
      </c>
      <c r="Y29" s="5">
        <f t="shared" si="1"/>
        <v>10279.047619047618</v>
      </c>
      <c r="Z29" s="5">
        <f t="shared" si="2"/>
        <v>256.97619047619048</v>
      </c>
      <c r="AA29" s="5">
        <f t="shared" si="3"/>
        <v>256.97619047619048</v>
      </c>
    </row>
    <row r="30" spans="1:27">
      <c r="A30" t="s">
        <v>34</v>
      </c>
      <c r="B30" t="s">
        <v>73</v>
      </c>
      <c r="C30" t="s">
        <v>74</v>
      </c>
      <c r="D30" s="3">
        <v>11</v>
      </c>
      <c r="E30" s="3">
        <v>4028</v>
      </c>
      <c r="F30" s="3">
        <v>364.65</v>
      </c>
      <c r="G30" s="3">
        <v>3663.35</v>
      </c>
      <c r="H30" s="3">
        <v>0</v>
      </c>
      <c r="I30" s="3">
        <v>53.05</v>
      </c>
      <c r="J30" s="3">
        <v>0</v>
      </c>
      <c r="K30" s="3">
        <v>185.88</v>
      </c>
      <c r="L30" s="3">
        <v>0</v>
      </c>
      <c r="M30" s="3">
        <v>-1.28</v>
      </c>
      <c r="N30" s="3">
        <v>3901</v>
      </c>
      <c r="O30" s="3">
        <v>0</v>
      </c>
      <c r="P30" s="3">
        <v>300</v>
      </c>
      <c r="Q30" s="3">
        <v>596</v>
      </c>
      <c r="R30" s="3">
        <v>0</v>
      </c>
      <c r="S30" s="3">
        <v>0</v>
      </c>
      <c r="T30" s="3">
        <v>0</v>
      </c>
      <c r="U30" s="3">
        <v>2126</v>
      </c>
      <c r="V30" s="3">
        <v>879</v>
      </c>
      <c r="W30" s="2">
        <v>0</v>
      </c>
      <c r="X30" s="5">
        <f t="shared" si="0"/>
        <v>3022</v>
      </c>
      <c r="Y30" s="5">
        <f t="shared" si="1"/>
        <v>2878.0952380952381</v>
      </c>
      <c r="Z30" s="5">
        <f t="shared" si="2"/>
        <v>71.952380952380949</v>
      </c>
      <c r="AA30" s="5">
        <f t="shared" si="3"/>
        <v>71.952380952380949</v>
      </c>
    </row>
    <row r="31" spans="1:27">
      <c r="A31" t="s">
        <v>34</v>
      </c>
      <c r="B31" t="s">
        <v>75</v>
      </c>
      <c r="C31" t="s">
        <v>76</v>
      </c>
      <c r="D31" s="3">
        <v>9</v>
      </c>
      <c r="E31" s="3">
        <v>2596</v>
      </c>
      <c r="F31" s="3">
        <v>140</v>
      </c>
      <c r="G31" s="3">
        <v>2456</v>
      </c>
      <c r="H31" s="3">
        <v>0</v>
      </c>
      <c r="I31" s="3">
        <v>42.45</v>
      </c>
      <c r="J31" s="3">
        <v>0</v>
      </c>
      <c r="K31" s="3">
        <v>125</v>
      </c>
      <c r="L31" s="3">
        <v>0</v>
      </c>
      <c r="M31" s="3">
        <v>-0.45</v>
      </c>
      <c r="N31" s="3">
        <v>2623</v>
      </c>
      <c r="O31" s="3">
        <v>0</v>
      </c>
      <c r="P31" s="3">
        <v>0</v>
      </c>
      <c r="Q31" s="3">
        <v>460</v>
      </c>
      <c r="R31" s="3">
        <v>0</v>
      </c>
      <c r="S31" s="3">
        <v>0</v>
      </c>
      <c r="T31" s="3">
        <v>0</v>
      </c>
      <c r="U31" s="3">
        <v>1450</v>
      </c>
      <c r="V31" s="3">
        <v>713</v>
      </c>
      <c r="W31" s="2">
        <v>0</v>
      </c>
      <c r="X31" s="5">
        <f t="shared" si="0"/>
        <v>1910</v>
      </c>
      <c r="Y31" s="5">
        <f t="shared" si="1"/>
        <v>1819.047619047619</v>
      </c>
      <c r="Z31" s="5">
        <f t="shared" si="2"/>
        <v>45.476190476190482</v>
      </c>
      <c r="AA31" s="5">
        <f t="shared" si="3"/>
        <v>45.476190476190482</v>
      </c>
    </row>
    <row r="32" spans="1:27">
      <c r="A32" t="s">
        <v>34</v>
      </c>
      <c r="B32" t="s">
        <v>77</v>
      </c>
      <c r="C32" t="s">
        <v>78</v>
      </c>
      <c r="D32" s="3">
        <v>10</v>
      </c>
      <c r="E32" s="3">
        <v>3483</v>
      </c>
      <c r="F32" s="3">
        <v>302</v>
      </c>
      <c r="G32" s="3">
        <v>3181</v>
      </c>
      <c r="H32" s="3">
        <v>0</v>
      </c>
      <c r="I32" s="3">
        <v>57.4</v>
      </c>
      <c r="J32" s="3">
        <v>0</v>
      </c>
      <c r="K32" s="3">
        <v>161.96</v>
      </c>
      <c r="L32" s="3">
        <v>0</v>
      </c>
      <c r="M32" s="3">
        <v>1.64</v>
      </c>
      <c r="N32" s="3">
        <v>3402</v>
      </c>
      <c r="O32" s="3">
        <v>0</v>
      </c>
      <c r="P32" s="3">
        <v>312</v>
      </c>
      <c r="Q32" s="3">
        <v>0</v>
      </c>
      <c r="R32" s="3">
        <v>0</v>
      </c>
      <c r="S32" s="3">
        <v>0</v>
      </c>
      <c r="T32" s="3">
        <v>0</v>
      </c>
      <c r="U32" s="3">
        <v>1835</v>
      </c>
      <c r="V32" s="3">
        <v>1255</v>
      </c>
      <c r="W32" s="2">
        <v>0</v>
      </c>
      <c r="X32" s="5">
        <f t="shared" si="0"/>
        <v>2147</v>
      </c>
      <c r="Y32" s="5">
        <f t="shared" si="1"/>
        <v>2044.7619047619046</v>
      </c>
      <c r="Z32" s="5">
        <f t="shared" si="2"/>
        <v>51.11904761904762</v>
      </c>
      <c r="AA32" s="5">
        <f t="shared" si="3"/>
        <v>51.11904761904762</v>
      </c>
    </row>
    <row r="33" spans="1:27">
      <c r="A33" t="s">
        <v>34</v>
      </c>
      <c r="B33" t="s">
        <v>79</v>
      </c>
      <c r="C33" t="s">
        <v>80</v>
      </c>
      <c r="D33" s="3">
        <v>24</v>
      </c>
      <c r="E33" s="3">
        <v>8849</v>
      </c>
      <c r="F33" s="3">
        <v>316.64999999999998</v>
      </c>
      <c r="G33" s="3">
        <v>8532.35</v>
      </c>
      <c r="H33" s="3">
        <v>0</v>
      </c>
      <c r="I33" s="3">
        <v>70.900000000000006</v>
      </c>
      <c r="J33" s="3">
        <v>0</v>
      </c>
      <c r="K33" s="3">
        <v>430.34</v>
      </c>
      <c r="L33" s="3">
        <v>0</v>
      </c>
      <c r="M33" s="3">
        <v>-3.59</v>
      </c>
      <c r="N33" s="3">
        <v>9030</v>
      </c>
      <c r="O33" s="3">
        <v>0</v>
      </c>
      <c r="P33" s="3">
        <v>667</v>
      </c>
      <c r="Q33" s="3">
        <v>1992</v>
      </c>
      <c r="R33" s="3">
        <v>0</v>
      </c>
      <c r="S33" s="3">
        <v>0</v>
      </c>
      <c r="T33" s="3">
        <v>0</v>
      </c>
      <c r="U33" s="3">
        <v>4788</v>
      </c>
      <c r="V33" s="3">
        <v>1583</v>
      </c>
      <c r="W33" s="2">
        <v>0</v>
      </c>
      <c r="X33" s="5">
        <f t="shared" si="0"/>
        <v>7447</v>
      </c>
      <c r="Y33" s="5">
        <f t="shared" si="1"/>
        <v>7092.3809523809523</v>
      </c>
      <c r="Z33" s="5">
        <f t="shared" si="2"/>
        <v>177.30952380952382</v>
      </c>
      <c r="AA33" s="5">
        <f t="shared" si="3"/>
        <v>177.30952380952382</v>
      </c>
    </row>
    <row r="34" spans="1:27">
      <c r="A34" t="s">
        <v>34</v>
      </c>
      <c r="B34" t="s">
        <v>81</v>
      </c>
      <c r="C34" t="s">
        <v>82</v>
      </c>
      <c r="D34" s="3">
        <v>20</v>
      </c>
      <c r="E34" s="3">
        <v>8252</v>
      </c>
      <c r="F34" s="3">
        <v>365.02</v>
      </c>
      <c r="G34" s="3">
        <v>7886.98</v>
      </c>
      <c r="H34" s="3">
        <v>0</v>
      </c>
      <c r="I34" s="3">
        <v>200.05</v>
      </c>
      <c r="J34" s="3">
        <v>0</v>
      </c>
      <c r="K34" s="3">
        <v>404.46</v>
      </c>
      <c r="L34" s="3">
        <v>0</v>
      </c>
      <c r="M34" s="3">
        <v>-0.49</v>
      </c>
      <c r="N34" s="3">
        <v>8491</v>
      </c>
      <c r="O34" s="3">
        <v>0</v>
      </c>
      <c r="P34" s="3">
        <v>1324</v>
      </c>
      <c r="Q34" s="3">
        <v>314</v>
      </c>
      <c r="R34" s="3">
        <v>0</v>
      </c>
      <c r="S34" s="3">
        <v>0</v>
      </c>
      <c r="T34" s="3">
        <v>0</v>
      </c>
      <c r="U34" s="3">
        <v>3276</v>
      </c>
      <c r="V34" s="3">
        <v>3577</v>
      </c>
      <c r="W34" s="2">
        <v>0</v>
      </c>
      <c r="X34" s="5">
        <f t="shared" si="0"/>
        <v>4914</v>
      </c>
      <c r="Y34" s="5">
        <f t="shared" si="1"/>
        <v>4680</v>
      </c>
      <c r="Z34" s="5">
        <f t="shared" si="2"/>
        <v>117</v>
      </c>
      <c r="AA34" s="5">
        <f t="shared" si="3"/>
        <v>117</v>
      </c>
    </row>
    <row r="35" spans="1:27">
      <c r="A35" t="s">
        <v>34</v>
      </c>
      <c r="B35" t="s">
        <v>83</v>
      </c>
      <c r="C35" t="s">
        <v>84</v>
      </c>
      <c r="D35" s="3">
        <v>31</v>
      </c>
      <c r="E35" s="3">
        <v>11124</v>
      </c>
      <c r="F35" s="3">
        <v>487.94</v>
      </c>
      <c r="G35" s="3">
        <v>10636.06</v>
      </c>
      <c r="H35" s="3">
        <v>0</v>
      </c>
      <c r="I35" s="3">
        <v>139.75</v>
      </c>
      <c r="J35" s="3">
        <v>0</v>
      </c>
      <c r="K35" s="3">
        <v>538.96</v>
      </c>
      <c r="L35" s="3">
        <v>0</v>
      </c>
      <c r="M35" s="3">
        <v>-2.77</v>
      </c>
      <c r="N35" s="3">
        <v>11312</v>
      </c>
      <c r="O35" s="3">
        <v>0</v>
      </c>
      <c r="P35" s="3">
        <v>1208</v>
      </c>
      <c r="Q35" s="3">
        <v>2995</v>
      </c>
      <c r="R35" s="3">
        <v>0</v>
      </c>
      <c r="S35" s="3">
        <v>0</v>
      </c>
      <c r="T35" s="3">
        <v>0</v>
      </c>
      <c r="U35" s="3">
        <v>4173</v>
      </c>
      <c r="V35" s="3">
        <v>2936</v>
      </c>
      <c r="W35" s="2">
        <v>0</v>
      </c>
      <c r="X35" s="5">
        <f t="shared" si="0"/>
        <v>8376</v>
      </c>
      <c r="Y35" s="5">
        <f t="shared" si="1"/>
        <v>7977.1428571428569</v>
      </c>
      <c r="Z35" s="5">
        <f t="shared" si="2"/>
        <v>199.42857142857144</v>
      </c>
      <c r="AA35" s="5">
        <f t="shared" si="3"/>
        <v>199.42857142857144</v>
      </c>
    </row>
    <row r="36" spans="1:27">
      <c r="A36" t="s">
        <v>34</v>
      </c>
      <c r="B36" t="s">
        <v>85</v>
      </c>
      <c r="C36" t="s">
        <v>86</v>
      </c>
      <c r="D36" s="3">
        <v>18</v>
      </c>
      <c r="E36" s="3">
        <v>6039</v>
      </c>
      <c r="F36" s="3">
        <v>116.19</v>
      </c>
      <c r="G36" s="3">
        <v>5922.81</v>
      </c>
      <c r="H36" s="3">
        <v>0</v>
      </c>
      <c r="I36" s="3">
        <v>66.400000000000006</v>
      </c>
      <c r="J36" s="3">
        <v>0</v>
      </c>
      <c r="K36" s="3">
        <v>299.54000000000002</v>
      </c>
      <c r="L36" s="3">
        <v>0</v>
      </c>
      <c r="M36" s="3">
        <v>-2.75</v>
      </c>
      <c r="N36" s="3">
        <v>6286</v>
      </c>
      <c r="O36" s="3">
        <v>0</v>
      </c>
      <c r="P36" s="3">
        <v>167</v>
      </c>
      <c r="Q36" s="3">
        <v>490</v>
      </c>
      <c r="R36" s="3">
        <v>0</v>
      </c>
      <c r="S36" s="3">
        <v>0</v>
      </c>
      <c r="T36" s="3">
        <v>0</v>
      </c>
      <c r="U36" s="3">
        <v>4524</v>
      </c>
      <c r="V36" s="3">
        <v>1105</v>
      </c>
      <c r="W36" s="2">
        <v>0</v>
      </c>
      <c r="X36" s="5">
        <f t="shared" si="0"/>
        <v>5181</v>
      </c>
      <c r="Y36" s="5">
        <f t="shared" si="1"/>
        <v>4934.2857142857138</v>
      </c>
      <c r="Z36" s="5">
        <f t="shared" si="2"/>
        <v>123.35714285714285</v>
      </c>
      <c r="AA36" s="5">
        <f t="shared" si="3"/>
        <v>123.35714285714285</v>
      </c>
    </row>
    <row r="37" spans="1:27">
      <c r="A37" t="s">
        <v>34</v>
      </c>
      <c r="B37" t="s">
        <v>87</v>
      </c>
      <c r="C37" t="s">
        <v>88</v>
      </c>
      <c r="D37" s="3">
        <v>9</v>
      </c>
      <c r="E37" s="3">
        <v>4960</v>
      </c>
      <c r="F37" s="3">
        <v>0</v>
      </c>
      <c r="G37" s="3">
        <v>4960</v>
      </c>
      <c r="H37" s="3">
        <v>0</v>
      </c>
      <c r="I37" s="3">
        <v>52.75</v>
      </c>
      <c r="J37" s="3">
        <v>0</v>
      </c>
      <c r="K37" s="3">
        <v>250.68</v>
      </c>
      <c r="L37" s="3">
        <v>0</v>
      </c>
      <c r="M37" s="3">
        <v>-0.43</v>
      </c>
      <c r="N37" s="3">
        <v>5263</v>
      </c>
      <c r="O37" s="3">
        <v>0</v>
      </c>
      <c r="P37" s="3">
        <v>781</v>
      </c>
      <c r="Q37" s="3">
        <v>2815</v>
      </c>
      <c r="R37" s="3">
        <v>0</v>
      </c>
      <c r="S37" s="3">
        <v>0</v>
      </c>
      <c r="T37" s="3">
        <v>0</v>
      </c>
      <c r="U37" s="3">
        <v>504</v>
      </c>
      <c r="V37" s="3">
        <v>1163</v>
      </c>
      <c r="W37" s="2">
        <v>0</v>
      </c>
      <c r="X37" s="5">
        <f t="shared" si="0"/>
        <v>4100</v>
      </c>
      <c r="Y37" s="5">
        <f t="shared" si="1"/>
        <v>3904.761904761905</v>
      </c>
      <c r="Z37" s="5">
        <f t="shared" si="2"/>
        <v>97.619047619047635</v>
      </c>
      <c r="AA37" s="5">
        <f t="shared" si="3"/>
        <v>97.619047619047635</v>
      </c>
    </row>
    <row r="38" spans="1:27">
      <c r="A38" t="s">
        <v>34</v>
      </c>
      <c r="B38" t="s">
        <v>89</v>
      </c>
      <c r="C38" t="s">
        <v>90</v>
      </c>
      <c r="D38" s="3">
        <v>15</v>
      </c>
      <c r="E38" s="3">
        <v>4948</v>
      </c>
      <c r="F38" s="3">
        <v>291.5</v>
      </c>
      <c r="G38" s="3">
        <v>4656.5</v>
      </c>
      <c r="H38" s="3">
        <v>0</v>
      </c>
      <c r="I38" s="3">
        <v>38.78</v>
      </c>
      <c r="J38" s="3">
        <v>0</v>
      </c>
      <c r="K38" s="3">
        <v>234.84</v>
      </c>
      <c r="L38" s="3">
        <v>0</v>
      </c>
      <c r="M38" s="3">
        <v>-2.12</v>
      </c>
      <c r="N38" s="3">
        <v>4928</v>
      </c>
      <c r="O38" s="3">
        <v>0</v>
      </c>
      <c r="P38" s="3">
        <v>0</v>
      </c>
      <c r="Q38" s="3">
        <v>971</v>
      </c>
      <c r="R38" s="3">
        <v>0</v>
      </c>
      <c r="S38" s="3">
        <v>0</v>
      </c>
      <c r="T38" s="3">
        <v>0</v>
      </c>
      <c r="U38" s="3">
        <v>3103</v>
      </c>
      <c r="V38" s="3">
        <v>854</v>
      </c>
      <c r="W38" s="2">
        <v>0</v>
      </c>
      <c r="X38" s="5">
        <f t="shared" si="0"/>
        <v>4074</v>
      </c>
      <c r="Y38" s="5">
        <f t="shared" si="1"/>
        <v>3879.9999999999995</v>
      </c>
      <c r="Z38" s="5">
        <f t="shared" si="2"/>
        <v>97</v>
      </c>
      <c r="AA38" s="5">
        <f t="shared" si="3"/>
        <v>97</v>
      </c>
    </row>
    <row r="39" spans="1:27">
      <c r="D39" s="3">
        <f>SUM(D10:D38)</f>
        <v>431</v>
      </c>
      <c r="E39" s="3">
        <f t="shared" ref="E39:W39" si="4">SUM(E10:E38)</f>
        <v>193837</v>
      </c>
      <c r="F39" s="3">
        <f t="shared" si="4"/>
        <v>17138.399999999994</v>
      </c>
      <c r="G39" s="3">
        <f t="shared" si="4"/>
        <v>176698.6</v>
      </c>
      <c r="H39" s="3">
        <f t="shared" si="4"/>
        <v>0</v>
      </c>
      <c r="I39" s="3">
        <f t="shared" si="4"/>
        <v>1610.3300000000002</v>
      </c>
      <c r="J39" s="3">
        <f t="shared" si="4"/>
        <v>0</v>
      </c>
      <c r="K39" s="3">
        <f t="shared" si="4"/>
        <v>8917.9200000000019</v>
      </c>
      <c r="L39" s="3">
        <f t="shared" si="4"/>
        <v>0</v>
      </c>
      <c r="M39" s="3">
        <f t="shared" si="4"/>
        <v>-46.850000000000009</v>
      </c>
      <c r="N39" s="3">
        <f t="shared" si="4"/>
        <v>187180</v>
      </c>
      <c r="O39" s="3">
        <f t="shared" si="4"/>
        <v>1814</v>
      </c>
      <c r="P39" s="3">
        <f t="shared" si="4"/>
        <v>23790</v>
      </c>
      <c r="Q39" s="3">
        <f t="shared" si="4"/>
        <v>34176</v>
      </c>
      <c r="R39" s="3">
        <f t="shared" si="4"/>
        <v>0</v>
      </c>
      <c r="S39" s="3">
        <f t="shared" si="4"/>
        <v>0</v>
      </c>
      <c r="T39" s="3">
        <f t="shared" si="4"/>
        <v>0</v>
      </c>
      <c r="U39" s="3">
        <f t="shared" si="4"/>
        <v>96698</v>
      </c>
      <c r="V39" s="3">
        <f t="shared" si="4"/>
        <v>30702</v>
      </c>
      <c r="W39" s="3">
        <f t="shared" si="4"/>
        <v>0</v>
      </c>
      <c r="X39" s="5">
        <f t="shared" si="0"/>
        <v>156478</v>
      </c>
      <c r="Y39" s="6">
        <f t="shared" si="1"/>
        <v>149026.66666666666</v>
      </c>
      <c r="Z39" s="6">
        <f t="shared" si="2"/>
        <v>3725.6666666666665</v>
      </c>
      <c r="AA39" s="6">
        <f t="shared" si="3"/>
        <v>3725.6666666666665</v>
      </c>
    </row>
    <row r="40" spans="1:27">
      <c r="A40" t="s">
        <v>91</v>
      </c>
      <c r="D40" s="2">
        <v>431</v>
      </c>
      <c r="E40" s="2">
        <v>193837</v>
      </c>
      <c r="F40">
        <v>17138.400000000001</v>
      </c>
      <c r="G40">
        <v>176698.6</v>
      </c>
      <c r="H40" s="2">
        <v>0</v>
      </c>
      <c r="I40" s="3">
        <v>1610.33</v>
      </c>
      <c r="J40" s="2">
        <v>0</v>
      </c>
      <c r="K40" s="3">
        <v>8917.92</v>
      </c>
      <c r="L40" s="2">
        <v>0</v>
      </c>
      <c r="M40" s="3">
        <v>-46.85</v>
      </c>
      <c r="N40" s="2">
        <v>187180</v>
      </c>
      <c r="O40" s="2">
        <v>1814</v>
      </c>
      <c r="P40" s="2">
        <v>23790</v>
      </c>
      <c r="Q40" s="2">
        <v>34176</v>
      </c>
      <c r="R40" s="2">
        <v>0</v>
      </c>
      <c r="S40" s="2">
        <v>0</v>
      </c>
      <c r="T40" s="2">
        <v>0</v>
      </c>
      <c r="U40" s="2">
        <v>96698</v>
      </c>
      <c r="V40" s="2">
        <v>30702</v>
      </c>
      <c r="W40" s="2">
        <v>0</v>
      </c>
      <c r="X40" s="5">
        <f t="shared" si="0"/>
        <v>156478</v>
      </c>
      <c r="Y40" s="5">
        <f t="shared" si="1"/>
        <v>149026.66666666666</v>
      </c>
      <c r="Z40" s="5">
        <f t="shared" si="2"/>
        <v>3725.6666666666665</v>
      </c>
      <c r="AA40" s="5">
        <f t="shared" si="3"/>
        <v>3725.6666666666665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2026-04-13T13:14:18Z</dcterms:modified>
</cp:coreProperties>
</file>